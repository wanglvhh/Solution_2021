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D:\归档\2021\11\沛君科技-品新科技(富潤通科技)读码\"/>
    </mc:Choice>
  </mc:AlternateContent>
  <xr:revisionPtr revIDLastSave="0" documentId="13_ncr:1_{19F9CD4D-5DE7-4A17-BE2C-915C89312D0E}" xr6:coauthVersionLast="36" xr6:coauthVersionMax="36" xr10:uidLastSave="{00000000-0000-0000-0000-000000000000}"/>
  <bookViews>
    <workbookView xWindow="0" yWindow="0" windowWidth="18525" windowHeight="7125" firstSheet="1" activeTab="1" xr2:uid="{00000000-000D-0000-FFFF-FFFF00000000}"/>
  </bookViews>
  <sheets>
    <sheet name="询价单" sheetId="13" state="hidden" r:id="rId1"/>
    <sheet name="001" sheetId="19" r:id="rId2"/>
  </sheets>
  <definedNames>
    <definedName name="_xlnm._FilterDatabase" localSheetId="0" hidden="1">询价单!$A$4:$O$4</definedName>
    <definedName name="_xlnm.Print_Area" localSheetId="1">'001'!$A$1:$I$41</definedName>
  </definedNames>
  <calcPr calcId="179021"/>
</workbook>
</file>

<file path=xl/calcChain.xml><?xml version="1.0" encoding="utf-8"?>
<calcChain xmlns="http://schemas.openxmlformats.org/spreadsheetml/2006/main">
  <c r="F32" i="19" l="1"/>
  <c r="G12" i="19" l="1"/>
  <c r="G14" i="19"/>
  <c r="G15" i="19"/>
  <c r="G13" i="19"/>
</calcChain>
</file>

<file path=xl/sharedStrings.xml><?xml version="1.0" encoding="utf-8"?>
<sst xmlns="http://schemas.openxmlformats.org/spreadsheetml/2006/main" count="180" uniqueCount="99">
  <si>
    <t>思谋科技 询 价 单</t>
  </si>
  <si>
    <t>项目号：</t>
  </si>
  <si>
    <t>文件编号：</t>
  </si>
  <si>
    <t>序号</t>
  </si>
  <si>
    <t>需求方填写</t>
  </si>
  <si>
    <t>供货方填写</t>
  </si>
  <si>
    <r>
      <rPr>
        <b/>
        <sz val="11"/>
        <rFont val="微软雅黑"/>
        <family val="2"/>
        <charset val="134"/>
      </rPr>
      <t xml:space="preserve">物料组
</t>
    </r>
    <r>
      <rPr>
        <sz val="11"/>
        <rFont val="微软雅黑"/>
        <family val="2"/>
        <charset val="134"/>
      </rPr>
      <t>（机械标准件）</t>
    </r>
  </si>
  <si>
    <r>
      <rPr>
        <b/>
        <sz val="11"/>
        <rFont val="微软雅黑"/>
        <family val="2"/>
        <charset val="134"/>
      </rPr>
      <t xml:space="preserve">名称
</t>
    </r>
    <r>
      <rPr>
        <sz val="11"/>
        <rFont val="微软雅黑"/>
        <family val="2"/>
        <charset val="134"/>
      </rPr>
      <t>（中文）</t>
    </r>
  </si>
  <si>
    <r>
      <rPr>
        <b/>
        <sz val="11"/>
        <rFont val="微软雅黑"/>
        <family val="2"/>
        <charset val="134"/>
      </rPr>
      <t xml:space="preserve">型号
</t>
    </r>
    <r>
      <rPr>
        <sz val="11"/>
        <rFont val="微软雅黑"/>
        <family val="2"/>
        <charset val="134"/>
      </rPr>
      <t>（数字、字符等）</t>
    </r>
  </si>
  <si>
    <t>其他参数</t>
  </si>
  <si>
    <t>品牌/材质</t>
  </si>
  <si>
    <t>数量</t>
  </si>
  <si>
    <t>单位</t>
  </si>
  <si>
    <t>需求货期</t>
  </si>
  <si>
    <t>建议供应商</t>
  </si>
  <si>
    <t>未税单价
（元）</t>
  </si>
  <si>
    <t>税率（%）</t>
  </si>
  <si>
    <t>货期
（天）</t>
  </si>
  <si>
    <t>付款方式</t>
  </si>
  <si>
    <t>备注</t>
  </si>
  <si>
    <t>滚筒供料器（含吹送式夹头及夹头与电批连接单元）</t>
  </si>
  <si>
    <t>BG-160（含BRM-26）</t>
  </si>
  <si>
    <t>CCTL</t>
  </si>
  <si>
    <t>套</t>
  </si>
  <si>
    <t>直线模组</t>
  </si>
  <si>
    <t>TL170-L10-S200-BR-西门子400w</t>
  </si>
  <si>
    <t>pcs</t>
  </si>
  <si>
    <t>TL135-L10-S300-BR-西门子200W</t>
  </si>
  <si>
    <t>TL135-L5-S150-BR-西门子200W</t>
  </si>
  <si>
    <t>TL100-L10-S150-BL-西门子100W</t>
  </si>
  <si>
    <t>TL60-L10-S350-BL-西门子100W</t>
  </si>
  <si>
    <t>TL60-L5-S100-BR-西门子100W</t>
  </si>
  <si>
    <t>直线导轨</t>
  </si>
  <si>
    <t>MGN15C4R790Z0PII</t>
  </si>
  <si>
    <t>安装孔端距E=15</t>
  </si>
  <si>
    <t>上银</t>
  </si>
  <si>
    <t>HGH20HA1R340Z0PI</t>
  </si>
  <si>
    <t>HGH30CA2R520Z0PI</t>
  </si>
  <si>
    <t>安装孔端距E=20</t>
  </si>
  <si>
    <t>HGH20HA1R300Z0PII</t>
  </si>
  <si>
    <t>安装孔端距E=30</t>
  </si>
  <si>
    <t>HGW15CA1R160Z0PI</t>
  </si>
  <si>
    <t>MGN9C2R155Z0PII</t>
  </si>
  <si>
    <t>线性导向轴</t>
  </si>
  <si>
    <t>PSFGZ16-330-M8-N8-SC10-SX10</t>
  </si>
  <si>
    <t>MISUMI</t>
  </si>
  <si>
    <t>PSFGZ16-336-M8-N8-SC10-SX10</t>
  </si>
  <si>
    <t>无油衬套</t>
  </si>
  <si>
    <t>MFCNW16</t>
  </si>
  <si>
    <t>蝶形螺栓</t>
  </si>
  <si>
    <t>CHBS4-8</t>
  </si>
  <si>
    <t>磁铁</t>
  </si>
  <si>
    <t>NHXCC10-3</t>
  </si>
  <si>
    <t>气缸</t>
  </si>
  <si>
    <t>MY1B25-400HZ</t>
  </si>
  <si>
    <r>
      <rPr>
        <sz val="12"/>
        <rFont val="宋体"/>
        <family val="3"/>
        <charset val="134"/>
      </rPr>
      <t>S</t>
    </r>
    <r>
      <rPr>
        <sz val="12"/>
        <rFont val="宋体"/>
        <family val="3"/>
        <charset val="134"/>
      </rPr>
      <t>MC</t>
    </r>
  </si>
  <si>
    <t>CDQ2A32-100DZ-A93L</t>
  </si>
  <si>
    <t>CDQ2B40-75DMZ-A93L</t>
  </si>
  <si>
    <t>CDQ2A32-175DCMZ-A93L</t>
  </si>
  <si>
    <t>CDQMB32-100-A93L</t>
  </si>
  <si>
    <t>MGPM32-25Z-A93L</t>
  </si>
  <si>
    <t>MGPM20-20Z-A93L</t>
  </si>
  <si>
    <t>MGPM12-75Z-A93L</t>
  </si>
  <si>
    <t>气动滑台</t>
  </si>
  <si>
    <t>MSQB30A-A93L</t>
  </si>
  <si>
    <t>宽型气爪</t>
  </si>
  <si>
    <t>MHL2-25D1-M9BL</t>
  </si>
  <si>
    <t>汇流板</t>
  </si>
  <si>
    <t>SS5Y3-20-17</t>
  </si>
  <si>
    <t>电磁阀</t>
  </si>
  <si>
    <t>SY3320-5LZD-C6</t>
  </si>
  <si>
    <t>备注：</t>
  </si>
  <si>
    <r>
      <rPr>
        <sz val="11"/>
        <color theme="1"/>
        <rFont val="宋体"/>
        <family val="3"/>
        <charset val="134"/>
        <scheme val="minor"/>
      </rPr>
      <t>1、物料组：电气类、光学类、机械标准件、机械非标类（要标明：钣金类、机加类、机架类）
2、</t>
    </r>
    <r>
      <rPr>
        <sz val="11"/>
        <color theme="1"/>
        <rFont val="宋体"/>
        <family val="3"/>
        <charset val="134"/>
        <scheme val="minor"/>
      </rPr>
      <t xml:space="preserve">已有供应商只需填写供应商名称，新供应商需提供详尽信息（淘宝京东供应商提供链接
</t>
    </r>
  </si>
  <si>
    <t>深圳市思谋信息科技有限公司</t>
  </si>
  <si>
    <t>客 户：</t>
  </si>
  <si>
    <t>From:</t>
  </si>
  <si>
    <t>電 話：</t>
  </si>
  <si>
    <t>傳 真：</t>
  </si>
  <si>
    <t>連絡人：</t>
  </si>
  <si>
    <r>
      <rPr>
        <sz val="12"/>
        <rFont val="宋体"/>
        <family val="3"/>
        <charset val="134"/>
      </rPr>
      <t xml:space="preserve">行销部： </t>
    </r>
  </si>
  <si>
    <t>地 址:</t>
  </si>
  <si>
    <t>项目名称</t>
  </si>
  <si>
    <t>模块名称</t>
  </si>
  <si>
    <t>预估费用</t>
  </si>
  <si>
    <t>百分比</t>
  </si>
  <si>
    <t>備注</t>
  </si>
  <si>
    <t>单套造价：</t>
  </si>
  <si>
    <t>台</t>
  </si>
  <si>
    <t>郵  箱：</t>
  </si>
  <si>
    <r>
      <rPr>
        <sz val="12"/>
        <rFont val="宋体"/>
        <family val="3"/>
        <charset val="134"/>
      </rPr>
      <t>客户核准(签章）：</t>
    </r>
    <r>
      <rPr>
        <sz val="12"/>
        <rFont val="宋体"/>
        <family val="3"/>
        <charset val="134"/>
      </rPr>
      <t xml:space="preserve">                                         承办：</t>
    </r>
  </si>
  <si>
    <t>MV-CH250-90GM</t>
    <phoneticPr fontId="37" type="noConversion"/>
  </si>
  <si>
    <t>V1228-MPW2</t>
    <phoneticPr fontId="37" type="noConversion"/>
  </si>
  <si>
    <t>镜头</t>
    <phoneticPr fontId="37" type="noConversion"/>
  </si>
  <si>
    <t>高分辨率相机</t>
    <phoneticPr fontId="37" type="noConversion"/>
  </si>
  <si>
    <t>定制光源</t>
    <phoneticPr fontId="37" type="noConversion"/>
  </si>
  <si>
    <t>SPQ-500-500-CFHI</t>
    <phoneticPr fontId="37" type="noConversion"/>
  </si>
  <si>
    <t>CST-DPS24240B-2T</t>
    <phoneticPr fontId="37" type="noConversion"/>
  </si>
  <si>
    <t>光源控制器</t>
    <phoneticPr fontId="37" type="noConversion"/>
  </si>
  <si>
    <t>读码方案成本报价</t>
    <phoneticPr fontId="3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</si>
</sst>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0.00_ "/>
    <numFmt numFmtId="179" formatCode="yyyy&quot;年&quot;m&quot;月&quot;d&quot;日&quot;;\-;\-;@"/>
  </numFmts>
  <fonts count="41">
    <font>
      <sz val="11"/>
      <color theme="1"/>
      <name val="宋体"/>
      <charset val="162"/>
      <scheme val="minor"/>
    </font>
    <font>
      <sz val="18"/>
      <name val="宋体"/>
      <charset val="134"/>
    </font>
    <font>
      <sz val="12"/>
      <name val="宋体"/>
      <charset val="134"/>
    </font>
    <font>
      <b/>
      <sz val="18"/>
      <name val="楷体"/>
      <charset val="134"/>
    </font>
    <font>
      <sz val="15"/>
      <name val="楷体"/>
      <charset val="134"/>
    </font>
    <font>
      <sz val="11"/>
      <name val="楷体"/>
      <charset val="134"/>
    </font>
    <font>
      <b/>
      <sz val="16"/>
      <name val="楷体"/>
      <charset val="134"/>
    </font>
    <font>
      <sz val="12"/>
      <color indexed="8"/>
      <name val="宋体"/>
      <charset val="134"/>
    </font>
    <font>
      <sz val="10"/>
      <color indexed="8"/>
      <name val="宋体"/>
      <charset val="134"/>
    </font>
    <font>
      <b/>
      <sz val="14"/>
      <color indexed="8"/>
      <name val="新宋体"/>
      <charset val="134"/>
    </font>
    <font>
      <b/>
      <sz val="14"/>
      <name val="新宋体"/>
      <charset val="134"/>
    </font>
    <font>
      <b/>
      <sz val="12"/>
      <color indexed="8"/>
      <name val="新宋体"/>
      <charset val="134"/>
    </font>
    <font>
      <b/>
      <sz val="12"/>
      <name val="新宋体"/>
      <charset val="134"/>
    </font>
    <font>
      <sz val="12"/>
      <name val="新宋体"/>
      <charset val="134"/>
    </font>
    <font>
      <sz val="11"/>
      <color theme="1"/>
      <name val="宋体"/>
      <charset val="134"/>
      <scheme val="minor"/>
    </font>
    <font>
      <sz val="10"/>
      <name val="宋体"/>
      <charset val="134"/>
    </font>
    <font>
      <sz val="12"/>
      <color indexed="8"/>
      <name val="新宋体"/>
      <charset val="134"/>
    </font>
    <font>
      <sz val="11"/>
      <color theme="1"/>
      <name val="宋体"/>
      <charset val="134"/>
      <scheme val="minor"/>
    </font>
    <font>
      <b/>
      <sz val="18"/>
      <color indexed="8"/>
      <name val="宋体"/>
      <charset val="134"/>
    </font>
    <font>
      <b/>
      <sz val="16"/>
      <color indexed="8"/>
      <name val="宋体"/>
      <charset val="134"/>
    </font>
    <font>
      <b/>
      <sz val="11"/>
      <color indexed="8"/>
      <name val="宋体"/>
      <charset val="134"/>
    </font>
    <font>
      <b/>
      <sz val="12"/>
      <color theme="1"/>
      <name val="宋体"/>
      <charset val="134"/>
      <scheme val="minor"/>
    </font>
    <font>
      <b/>
      <sz val="11"/>
      <name val="微软雅黑"/>
      <charset val="134"/>
    </font>
    <font>
      <b/>
      <sz val="12"/>
      <color indexed="8"/>
      <name val="宋体"/>
      <charset val="134"/>
    </font>
    <font>
      <b/>
      <sz val="12"/>
      <color indexed="8"/>
      <name val="Times New Roman"/>
      <family val="1"/>
    </font>
    <font>
      <b/>
      <sz val="11"/>
      <name val="宋体"/>
      <charset val="134"/>
      <scheme val="minor"/>
    </font>
    <font>
      <sz val="12"/>
      <color indexed="63"/>
      <name val="宋体"/>
      <charset val="134"/>
    </font>
    <font>
      <sz val="12"/>
      <color indexed="8"/>
      <name val="Times New Roman"/>
      <family val="1"/>
    </font>
    <font>
      <u/>
      <sz val="11"/>
      <color indexed="12"/>
      <name val="宋体"/>
      <charset val="134"/>
    </font>
    <font>
      <sz val="9"/>
      <name val="Arial MT"/>
      <family val="2"/>
    </font>
    <font>
      <sz val="11"/>
      <name val="돋움"/>
      <charset val="134"/>
    </font>
    <font>
      <sz val="9"/>
      <name val="宋体"/>
      <family val="3"/>
      <charset val="134"/>
    </font>
    <font>
      <u/>
      <sz val="12"/>
      <color indexed="12"/>
      <name val="新細明體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name val="新宋体"/>
      <family val="3"/>
      <charset val="134"/>
    </font>
    <font>
      <sz val="12"/>
      <color indexed="8"/>
      <name val="新宋体"/>
      <family val="3"/>
      <charset val="134"/>
    </font>
    <font>
      <b/>
      <sz val="14"/>
      <name val="新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43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8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0" fillId="0" borderId="0">
      <alignment vertical="center"/>
    </xf>
    <xf numFmtId="0" fontId="29" fillId="0" borderId="0">
      <alignment wrapText="1"/>
    </xf>
  </cellStyleXfs>
  <cellXfs count="100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2" fillId="0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2" applyFont="1" applyBorder="1" applyAlignment="1">
      <alignment horizontal="left" vertical="center"/>
    </xf>
    <xf numFmtId="0" fontId="2" fillId="0" borderId="0" xfId="2" applyFont="1" applyBorder="1" applyAlignment="1">
      <alignment vertical="center"/>
    </xf>
    <xf numFmtId="0" fontId="12" fillId="0" borderId="5" xfId="0" applyFont="1" applyFill="1" applyBorder="1" applyAlignment="1">
      <alignment horizontal="center" vertical="center" shrinkToFit="1"/>
    </xf>
    <xf numFmtId="14" fontId="11" fillId="0" borderId="2" xfId="0" applyNumberFormat="1" applyFont="1" applyFill="1" applyBorder="1" applyAlignment="1">
      <alignment horizontal="center" vertical="center" shrinkToFit="1"/>
    </xf>
    <xf numFmtId="0" fontId="13" fillId="0" borderId="5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center" vertical="center" shrinkToFit="1"/>
    </xf>
    <xf numFmtId="177" fontId="13" fillId="0" borderId="2" xfId="0" applyNumberFormat="1" applyFont="1" applyFill="1" applyBorder="1" applyAlignment="1">
      <alignment horizontal="left" vertical="center" shrinkToFit="1"/>
    </xf>
    <xf numFmtId="0" fontId="13" fillId="0" borderId="5" xfId="0" applyFont="1" applyFill="1" applyBorder="1" applyAlignment="1">
      <alignment horizontal="left" vertical="center" wrapText="1"/>
    </xf>
    <xf numFmtId="177" fontId="13" fillId="0" borderId="5" xfId="0" applyNumberFormat="1" applyFont="1" applyFill="1" applyBorder="1" applyAlignment="1">
      <alignment horizontal="left" vertical="center" shrinkToFit="1"/>
    </xf>
    <xf numFmtId="0" fontId="14" fillId="0" borderId="5" xfId="0" applyFont="1" applyFill="1" applyBorder="1" applyAlignment="1">
      <alignment vertical="center"/>
    </xf>
    <xf numFmtId="0" fontId="14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center" vertical="center" shrinkToFit="1"/>
    </xf>
    <xf numFmtId="0" fontId="15" fillId="3" borderId="10" xfId="2" applyFont="1" applyFill="1" applyBorder="1" applyAlignment="1">
      <alignment vertical="center" shrinkToFit="1"/>
    </xf>
    <xf numFmtId="0" fontId="15" fillId="3" borderId="1" xfId="4" applyFont="1" applyFill="1" applyBorder="1" applyAlignment="1" applyProtection="1">
      <alignment horizontal="left" vertical="center" shrinkToFit="1"/>
    </xf>
    <xf numFmtId="0" fontId="15" fillId="3" borderId="1" xfId="2" applyFont="1" applyFill="1" applyBorder="1" applyAlignment="1">
      <alignment horizontal="left" vertical="top" wrapText="1"/>
    </xf>
    <xf numFmtId="0" fontId="2" fillId="0" borderId="0" xfId="0" applyFont="1" applyFill="1" applyBorder="1" applyAlignment="1"/>
    <xf numFmtId="0" fontId="11" fillId="0" borderId="5" xfId="0" applyFont="1" applyFill="1" applyBorder="1" applyAlignment="1">
      <alignment horizontal="center" vertical="center" shrinkToFit="1"/>
    </xf>
    <xf numFmtId="0" fontId="16" fillId="0" borderId="5" xfId="0" applyFont="1" applyFill="1" applyBorder="1" applyAlignment="1">
      <alignment vertical="center" wrapText="1" shrinkToFit="1"/>
    </xf>
    <xf numFmtId="0" fontId="16" fillId="0" borderId="5" xfId="0" applyNumberFormat="1" applyFont="1" applyFill="1" applyBorder="1" applyAlignment="1">
      <alignment vertical="center" wrapText="1" shrinkToFit="1"/>
    </xf>
    <xf numFmtId="0" fontId="15" fillId="3" borderId="11" xfId="2" applyFont="1" applyFill="1" applyBorder="1" applyAlignment="1">
      <alignment horizontal="left" vertical="top" wrapText="1"/>
    </xf>
    <xf numFmtId="0" fontId="15" fillId="3" borderId="12" xfId="2" applyFont="1" applyFill="1" applyBorder="1" applyAlignment="1">
      <alignment horizontal="left" vertical="top" wrapText="1"/>
    </xf>
    <xf numFmtId="0" fontId="17" fillId="0" borderId="0" xfId="0" applyFont="1" applyFill="1" applyAlignment="1">
      <alignment vertical="center"/>
    </xf>
    <xf numFmtId="0" fontId="17" fillId="0" borderId="0" xfId="0" applyFont="1" applyFill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center" vertical="center"/>
    </xf>
    <xf numFmtId="3" fontId="17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wrapText="1"/>
    </xf>
    <xf numFmtId="0" fontId="23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vertical="center" wrapText="1"/>
    </xf>
    <xf numFmtId="0" fontId="18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25" fillId="4" borderId="5" xfId="0" applyFont="1" applyFill="1" applyBorder="1" applyAlignment="1">
      <alignment horizontal="center" vertical="center" wrapText="1"/>
    </xf>
    <xf numFmtId="179" fontId="25" fillId="4" borderId="5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center" vertical="center" wrapText="1"/>
    </xf>
    <xf numFmtId="43" fontId="17" fillId="0" borderId="5" xfId="0" applyNumberFormat="1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vertical="center"/>
    </xf>
    <xf numFmtId="0" fontId="27" fillId="0" borderId="0" xfId="0" applyFont="1" applyFill="1" applyAlignment="1">
      <alignment horizontal="center" wrapText="1"/>
    </xf>
    <xf numFmtId="0" fontId="7" fillId="0" borderId="0" xfId="0" applyFont="1" applyFill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wrapText="1"/>
    </xf>
    <xf numFmtId="0" fontId="24" fillId="4" borderId="4" xfId="0" applyFont="1" applyFill="1" applyBorder="1" applyAlignment="1">
      <alignment horizontal="center" wrapText="1"/>
    </xf>
    <xf numFmtId="0" fontId="24" fillId="4" borderId="3" xfId="0" applyFont="1" applyFill="1" applyBorder="1" applyAlignment="1">
      <alignment horizontal="center" wrapText="1"/>
    </xf>
    <xf numFmtId="0" fontId="17" fillId="0" borderId="0" xfId="0" applyFont="1" applyFill="1" applyAlignment="1">
      <alignment horizontal="left" vertical="center" wrapText="1"/>
    </xf>
    <xf numFmtId="0" fontId="20" fillId="0" borderId="13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3" fillId="0" borderId="0" xfId="2" applyFont="1" applyBorder="1" applyAlignment="1">
      <alignment horizontal="center" vertical="center" shrinkToFit="1"/>
    </xf>
    <xf numFmtId="0" fontId="4" fillId="0" borderId="0" xfId="2" applyFont="1" applyBorder="1" applyAlignment="1">
      <alignment horizontal="center" vertical="center" shrinkToFit="1"/>
    </xf>
    <xf numFmtId="0" fontId="5" fillId="0" borderId="0" xfId="2" applyFont="1" applyBorder="1" applyAlignment="1">
      <alignment horizontal="center" vertical="center" shrinkToFit="1"/>
    </xf>
    <xf numFmtId="0" fontId="6" fillId="0" borderId="0" xfId="3" applyFont="1" applyBorder="1" applyAlignment="1" applyProtection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2" fillId="0" borderId="0" xfId="2" applyFont="1" applyBorder="1" applyAlignment="1">
      <alignment horizontal="left" vertical="center" shrinkToFit="1"/>
    </xf>
    <xf numFmtId="0" fontId="2" fillId="0" borderId="0" xfId="2" applyFont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shrinkToFit="1"/>
    </xf>
    <xf numFmtId="0" fontId="2" fillId="0" borderId="1" xfId="2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 shrinkToFit="1"/>
    </xf>
    <xf numFmtId="0" fontId="9" fillId="0" borderId="3" xfId="0" applyFont="1" applyFill="1" applyBorder="1" applyAlignment="1">
      <alignment horizontal="center" vertical="center" shrinkToFit="1"/>
    </xf>
    <xf numFmtId="0" fontId="10" fillId="0" borderId="4" xfId="0" applyFont="1" applyFill="1" applyBorder="1" applyAlignment="1">
      <alignment horizontal="center" vertical="center" shrinkToFit="1"/>
    </xf>
    <xf numFmtId="0" fontId="10" fillId="0" borderId="3" xfId="0" applyFont="1" applyFill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 shrinkToFit="1"/>
    </xf>
    <xf numFmtId="0" fontId="11" fillId="0" borderId="3" xfId="0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horizontal="center" vertical="center" shrinkToFit="1"/>
    </xf>
    <xf numFmtId="0" fontId="12" fillId="0" borderId="3" xfId="0" applyFont="1" applyFill="1" applyBorder="1" applyAlignment="1">
      <alignment horizontal="center" vertical="center" shrinkToFit="1"/>
    </xf>
    <xf numFmtId="10" fontId="13" fillId="0" borderId="2" xfId="1" applyNumberFormat="1" applyFont="1" applyBorder="1" applyAlignment="1">
      <alignment horizontal="center" vertical="center" shrinkToFit="1"/>
    </xf>
    <xf numFmtId="10" fontId="13" fillId="0" borderId="3" xfId="1" applyNumberFormat="1" applyFont="1" applyBorder="1" applyAlignment="1">
      <alignment horizontal="center" vertical="center" shrinkToFit="1"/>
    </xf>
    <xf numFmtId="0" fontId="13" fillId="0" borderId="5" xfId="0" applyFont="1" applyFill="1" applyBorder="1" applyAlignment="1">
      <alignment horizontal="right" vertical="center" shrinkToFit="1"/>
    </xf>
    <xf numFmtId="0" fontId="13" fillId="0" borderId="6" xfId="0" applyFont="1" applyFill="1" applyBorder="1" applyAlignment="1">
      <alignment horizontal="right" vertical="center" shrinkToFit="1"/>
    </xf>
    <xf numFmtId="43" fontId="13" fillId="0" borderId="2" xfId="1" applyFont="1" applyBorder="1" applyAlignment="1">
      <alignment horizontal="left" vertical="center" shrinkToFit="1"/>
    </xf>
    <xf numFmtId="43" fontId="13" fillId="0" borderId="4" xfId="1" applyFont="1" applyBorder="1" applyAlignment="1">
      <alignment horizontal="left" vertical="center" shrinkToFit="1"/>
    </xf>
    <xf numFmtId="43" fontId="13" fillId="0" borderId="3" xfId="1" applyFont="1" applyBorder="1" applyAlignment="1">
      <alignment horizontal="left" vertical="center" shrinkToFit="1"/>
    </xf>
    <xf numFmtId="0" fontId="15" fillId="3" borderId="7" xfId="2" applyFont="1" applyFill="1" applyBorder="1" applyAlignment="1">
      <alignment horizontal="left" vertical="top" wrapText="1"/>
    </xf>
    <xf numFmtId="0" fontId="15" fillId="3" borderId="8" xfId="2" applyFont="1" applyFill="1" applyBorder="1" applyAlignment="1">
      <alignment horizontal="left" vertical="top" wrapText="1"/>
    </xf>
    <xf numFmtId="0" fontId="15" fillId="3" borderId="9" xfId="2" applyFont="1" applyFill="1" applyBorder="1" applyAlignment="1">
      <alignment horizontal="left" vertical="top" wrapText="1"/>
    </xf>
    <xf numFmtId="0" fontId="15" fillId="3" borderId="0" xfId="2" applyFont="1" applyFill="1" applyBorder="1" applyAlignment="1">
      <alignment horizontal="left" vertical="top" wrapText="1"/>
    </xf>
    <xf numFmtId="0" fontId="15" fillId="3" borderId="9" xfId="2" applyFont="1" applyFill="1" applyBorder="1" applyAlignment="1">
      <alignment vertical="top" wrapText="1"/>
    </xf>
    <xf numFmtId="0" fontId="15" fillId="3" borderId="0" xfId="2" applyFont="1" applyFill="1" applyBorder="1" applyAlignment="1">
      <alignment vertical="top" wrapText="1"/>
    </xf>
    <xf numFmtId="0" fontId="15" fillId="3" borderId="12" xfId="2" applyFont="1" applyFill="1" applyBorder="1" applyAlignment="1">
      <alignment vertical="top" wrapText="1"/>
    </xf>
    <xf numFmtId="0" fontId="15" fillId="3" borderId="1" xfId="4" applyFont="1" applyFill="1" applyBorder="1" applyAlignment="1" applyProtection="1">
      <alignment horizontal="left" vertical="center" shrinkToFit="1"/>
    </xf>
    <xf numFmtId="0" fontId="2" fillId="0" borderId="8" xfId="2" applyFont="1" applyBorder="1" applyAlignment="1">
      <alignment horizontal="left" vertical="center" wrapText="1"/>
    </xf>
    <xf numFmtId="0" fontId="38" fillId="0" borderId="5" xfId="0" applyFont="1" applyFill="1" applyBorder="1" applyAlignment="1">
      <alignment horizontal="left" vertical="center"/>
    </xf>
    <xf numFmtId="0" fontId="39" fillId="0" borderId="5" xfId="0" applyFont="1" applyFill="1" applyBorder="1" applyAlignment="1">
      <alignment vertical="center" wrapText="1" shrinkToFit="1"/>
    </xf>
    <xf numFmtId="0" fontId="40" fillId="0" borderId="2" xfId="0" applyFont="1" applyFill="1" applyBorder="1" applyAlignment="1">
      <alignment horizontal="center" vertical="center" shrinkToFit="1"/>
    </xf>
  </cellXfs>
  <cellStyles count="7">
    <cellStyle name="常规" xfId="0" builtinId="0"/>
    <cellStyle name="常规 2" xfId="5" xr:uid="{00000000-0005-0000-0000-000035000000}"/>
    <cellStyle name="常规 3" xfId="6" xr:uid="{00000000-0005-0000-0000-000036000000}"/>
    <cellStyle name="常规_08-07报价单" xfId="2" xr:uid="{00000000-0005-0000-0000-000014000000}"/>
    <cellStyle name="超链接 2 2" xfId="3" xr:uid="{00000000-0005-0000-0000-000026000000}"/>
    <cellStyle name="超链接 2 3" xfId="4" xr:uid="{00000000-0005-0000-0000-000029000000}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1"/>
  <sheetViews>
    <sheetView topLeftCell="A31" zoomScale="85" zoomScaleNormal="85" workbookViewId="0">
      <selection activeCell="E45" sqref="E45"/>
    </sheetView>
  </sheetViews>
  <sheetFormatPr defaultColWidth="9" defaultRowHeight="13.5"/>
  <cols>
    <col min="1" max="1" width="6.625" style="27" customWidth="1"/>
    <col min="2" max="2" width="16.125" style="27" customWidth="1"/>
    <col min="3" max="3" width="12.875" style="26" customWidth="1"/>
    <col min="4" max="5" width="31" style="26" customWidth="1"/>
    <col min="6" max="6" width="15.75" style="26" customWidth="1"/>
    <col min="7" max="10" width="10.125" style="26" customWidth="1"/>
    <col min="11" max="11" width="11.25" style="26" customWidth="1"/>
    <col min="12" max="12" width="11.625" style="26" customWidth="1"/>
    <col min="13" max="14" width="10.75" style="26" customWidth="1"/>
    <col min="15" max="15" width="21.5" style="26" customWidth="1"/>
    <col min="16" max="16384" width="9" style="26"/>
  </cols>
  <sheetData>
    <row r="1" spans="1:15" ht="24.75" customHeight="1">
      <c r="A1" s="28"/>
      <c r="B1" s="28"/>
      <c r="C1" s="53" t="s">
        <v>0</v>
      </c>
      <c r="D1" s="53"/>
      <c r="E1" s="53"/>
      <c r="F1" s="53"/>
      <c r="G1" s="53"/>
      <c r="H1" s="53"/>
      <c r="I1" s="44"/>
      <c r="J1" s="44"/>
      <c r="K1" s="44"/>
      <c r="L1" s="44"/>
      <c r="M1" s="44"/>
      <c r="N1" s="44"/>
      <c r="O1" s="44"/>
    </row>
    <row r="2" spans="1:15" ht="20.25" customHeight="1">
      <c r="A2" s="28"/>
      <c r="B2" s="28" t="s">
        <v>1</v>
      </c>
      <c r="C2" s="54"/>
      <c r="D2" s="54"/>
      <c r="E2" s="29"/>
      <c r="F2" s="29"/>
      <c r="G2" s="29"/>
      <c r="H2" s="29"/>
      <c r="I2" s="29"/>
      <c r="J2" s="29"/>
      <c r="K2" s="29"/>
      <c r="L2" s="45" t="s">
        <v>2</v>
      </c>
      <c r="M2" s="29"/>
      <c r="N2" s="29"/>
      <c r="O2" s="29"/>
    </row>
    <row r="3" spans="1:15" ht="20.25" customHeight="1">
      <c r="A3" s="62" t="s">
        <v>3</v>
      </c>
      <c r="B3" s="55" t="s">
        <v>4</v>
      </c>
      <c r="C3" s="56"/>
      <c r="D3" s="56"/>
      <c r="E3" s="56"/>
      <c r="F3" s="56"/>
      <c r="G3" s="56"/>
      <c r="H3" s="56"/>
      <c r="I3" s="56"/>
      <c r="J3" s="57"/>
      <c r="K3" s="58" t="s">
        <v>5</v>
      </c>
      <c r="L3" s="59"/>
      <c r="M3" s="59"/>
      <c r="N3" s="59"/>
      <c r="O3" s="60"/>
    </row>
    <row r="4" spans="1:15" ht="33" customHeight="1">
      <c r="A4" s="63"/>
      <c r="B4" s="30" t="s">
        <v>6</v>
      </c>
      <c r="C4" s="30" t="s">
        <v>7</v>
      </c>
      <c r="D4" s="30" t="s">
        <v>8</v>
      </c>
      <c r="E4" s="30" t="s">
        <v>9</v>
      </c>
      <c r="F4" s="31" t="s">
        <v>10</v>
      </c>
      <c r="G4" s="31" t="s">
        <v>11</v>
      </c>
      <c r="H4" s="31" t="s">
        <v>12</v>
      </c>
      <c r="I4" s="31" t="s">
        <v>13</v>
      </c>
      <c r="J4" s="31" t="s">
        <v>14</v>
      </c>
      <c r="K4" s="46" t="s">
        <v>15</v>
      </c>
      <c r="L4" s="46" t="s">
        <v>16</v>
      </c>
      <c r="M4" s="47" t="s">
        <v>17</v>
      </c>
      <c r="N4" s="47" t="s">
        <v>18</v>
      </c>
      <c r="O4" s="46" t="s">
        <v>19</v>
      </c>
    </row>
    <row r="5" spans="1:15" ht="61.5" customHeight="1">
      <c r="A5" s="32">
        <v>1</v>
      </c>
      <c r="B5" s="32"/>
      <c r="C5" s="33" t="s">
        <v>20</v>
      </c>
      <c r="D5" s="34" t="s">
        <v>21</v>
      </c>
      <c r="E5" s="34"/>
      <c r="F5" s="35" t="s">
        <v>22</v>
      </c>
      <c r="G5" s="35">
        <v>1</v>
      </c>
      <c r="H5" s="35" t="s">
        <v>23</v>
      </c>
      <c r="I5" s="35"/>
      <c r="J5" s="35"/>
      <c r="K5" s="48"/>
      <c r="L5" s="49"/>
      <c r="M5" s="48"/>
      <c r="N5" s="48"/>
      <c r="O5" s="34"/>
    </row>
    <row r="6" spans="1:15" ht="27.75" customHeight="1">
      <c r="A6" s="32">
        <v>2</v>
      </c>
      <c r="B6" s="32"/>
      <c r="C6" s="33" t="s">
        <v>24</v>
      </c>
      <c r="D6" s="36" t="s">
        <v>25</v>
      </c>
      <c r="E6" s="36"/>
      <c r="F6" s="35" t="s">
        <v>22</v>
      </c>
      <c r="G6" s="35">
        <v>1</v>
      </c>
      <c r="H6" s="35" t="s">
        <v>26</v>
      </c>
      <c r="I6" s="35"/>
      <c r="J6" s="35"/>
      <c r="K6" s="48"/>
      <c r="L6" s="49"/>
      <c r="M6" s="48"/>
      <c r="N6" s="48"/>
      <c r="O6" s="34"/>
    </row>
    <row r="7" spans="1:15" ht="27.75" customHeight="1">
      <c r="A7" s="32">
        <v>3</v>
      </c>
      <c r="B7" s="32"/>
      <c r="C7" s="36" t="s">
        <v>24</v>
      </c>
      <c r="D7" s="36" t="s">
        <v>27</v>
      </c>
      <c r="E7" s="36"/>
      <c r="F7" s="35" t="s">
        <v>22</v>
      </c>
      <c r="G7" s="35">
        <v>1</v>
      </c>
      <c r="H7" s="35" t="s">
        <v>26</v>
      </c>
      <c r="I7" s="35"/>
      <c r="J7" s="35"/>
      <c r="K7" s="48"/>
      <c r="L7" s="49"/>
      <c r="M7" s="48"/>
      <c r="N7" s="48"/>
      <c r="O7" s="34"/>
    </row>
    <row r="8" spans="1:15" ht="27.75" customHeight="1">
      <c r="A8" s="32">
        <v>4</v>
      </c>
      <c r="B8" s="32"/>
      <c r="C8" s="36" t="s">
        <v>24</v>
      </c>
      <c r="D8" s="33" t="s">
        <v>28</v>
      </c>
      <c r="E8" s="33"/>
      <c r="F8" s="35" t="s">
        <v>22</v>
      </c>
      <c r="G8" s="35">
        <v>1</v>
      </c>
      <c r="H8" s="35" t="s">
        <v>26</v>
      </c>
      <c r="I8" s="35"/>
      <c r="J8" s="35"/>
      <c r="K8" s="48"/>
      <c r="L8" s="49"/>
      <c r="M8" s="48"/>
      <c r="N8" s="48"/>
      <c r="O8" s="34"/>
    </row>
    <row r="9" spans="1:15" ht="27.75" customHeight="1">
      <c r="A9" s="32">
        <v>5</v>
      </c>
      <c r="B9" s="32"/>
      <c r="C9" s="33" t="s">
        <v>24</v>
      </c>
      <c r="D9" s="33" t="s">
        <v>29</v>
      </c>
      <c r="E9" s="33"/>
      <c r="F9" s="35" t="s">
        <v>22</v>
      </c>
      <c r="G9" s="35">
        <v>1</v>
      </c>
      <c r="H9" s="35" t="s">
        <v>26</v>
      </c>
      <c r="I9" s="35"/>
      <c r="J9" s="35"/>
      <c r="K9" s="48"/>
      <c r="L9" s="49"/>
      <c r="M9" s="48"/>
      <c r="N9" s="48"/>
      <c r="O9" s="34"/>
    </row>
    <row r="10" spans="1:15" ht="27.75" customHeight="1">
      <c r="A10" s="32">
        <v>6</v>
      </c>
      <c r="B10" s="32"/>
      <c r="C10" s="33" t="s">
        <v>24</v>
      </c>
      <c r="D10" s="33" t="s">
        <v>30</v>
      </c>
      <c r="E10" s="33"/>
      <c r="F10" s="35" t="s">
        <v>22</v>
      </c>
      <c r="G10" s="35">
        <v>1</v>
      </c>
      <c r="H10" s="35" t="s">
        <v>26</v>
      </c>
      <c r="I10" s="35"/>
      <c r="J10" s="35"/>
      <c r="K10" s="48"/>
      <c r="L10" s="49"/>
      <c r="M10" s="48"/>
      <c r="N10" s="48"/>
      <c r="O10" s="34"/>
    </row>
    <row r="11" spans="1:15" ht="27.75" customHeight="1">
      <c r="A11" s="32">
        <v>7</v>
      </c>
      <c r="B11" s="32"/>
      <c r="C11" s="33" t="s">
        <v>24</v>
      </c>
      <c r="D11" s="37" t="s">
        <v>31</v>
      </c>
      <c r="E11" s="37"/>
      <c r="F11" s="35" t="s">
        <v>22</v>
      </c>
      <c r="G11" s="35">
        <v>1</v>
      </c>
      <c r="H11" s="35" t="s">
        <v>26</v>
      </c>
      <c r="I11" s="35"/>
      <c r="J11" s="35"/>
      <c r="K11" s="48"/>
      <c r="L11" s="49"/>
      <c r="M11" s="48"/>
      <c r="N11" s="48"/>
      <c r="O11" s="34"/>
    </row>
    <row r="12" spans="1:15" ht="27.75" customHeight="1">
      <c r="A12" s="32">
        <v>8</v>
      </c>
      <c r="B12" s="32"/>
      <c r="C12" s="33" t="s">
        <v>32</v>
      </c>
      <c r="D12" s="33" t="s">
        <v>33</v>
      </c>
      <c r="E12" s="33" t="s">
        <v>34</v>
      </c>
      <c r="F12" s="34" t="s">
        <v>35</v>
      </c>
      <c r="G12" s="34">
        <v>2</v>
      </c>
      <c r="H12" s="35" t="s">
        <v>26</v>
      </c>
      <c r="I12" s="35"/>
      <c r="J12" s="35"/>
      <c r="K12" s="48"/>
      <c r="L12" s="49"/>
      <c r="M12" s="48"/>
      <c r="N12" s="48"/>
      <c r="O12" s="50"/>
    </row>
    <row r="13" spans="1:15" ht="27.75" customHeight="1">
      <c r="A13" s="32">
        <v>9</v>
      </c>
      <c r="B13" s="32"/>
      <c r="C13" s="33" t="s">
        <v>32</v>
      </c>
      <c r="D13" s="33" t="s">
        <v>36</v>
      </c>
      <c r="E13" s="33"/>
      <c r="F13" s="34" t="s">
        <v>35</v>
      </c>
      <c r="G13" s="34">
        <v>1</v>
      </c>
      <c r="H13" s="35" t="s">
        <v>26</v>
      </c>
      <c r="I13" s="35"/>
      <c r="J13" s="35"/>
      <c r="K13" s="48"/>
      <c r="L13" s="49"/>
      <c r="M13" s="48"/>
      <c r="N13" s="48"/>
      <c r="O13" s="33"/>
    </row>
    <row r="14" spans="1:15" ht="27.75" customHeight="1">
      <c r="A14" s="32">
        <v>10</v>
      </c>
      <c r="B14" s="32"/>
      <c r="C14" s="33" t="s">
        <v>32</v>
      </c>
      <c r="D14" s="33" t="s">
        <v>37</v>
      </c>
      <c r="E14" s="33" t="s">
        <v>38</v>
      </c>
      <c r="F14" s="34" t="s">
        <v>35</v>
      </c>
      <c r="G14" s="34">
        <v>1</v>
      </c>
      <c r="H14" s="35" t="s">
        <v>26</v>
      </c>
      <c r="I14" s="35"/>
      <c r="J14" s="35"/>
      <c r="K14" s="48"/>
      <c r="L14" s="49"/>
      <c r="M14" s="48"/>
      <c r="N14" s="48"/>
      <c r="O14" s="50"/>
    </row>
    <row r="15" spans="1:15" ht="27.75" customHeight="1">
      <c r="A15" s="32">
        <v>11</v>
      </c>
      <c r="B15" s="32"/>
      <c r="C15" s="33" t="s">
        <v>32</v>
      </c>
      <c r="D15" s="33" t="s">
        <v>39</v>
      </c>
      <c r="E15" s="33" t="s">
        <v>40</v>
      </c>
      <c r="F15" s="34" t="s">
        <v>35</v>
      </c>
      <c r="G15" s="34">
        <v>2</v>
      </c>
      <c r="H15" s="35" t="s">
        <v>26</v>
      </c>
      <c r="I15" s="35"/>
      <c r="J15" s="35"/>
      <c r="K15" s="48"/>
      <c r="L15" s="49"/>
      <c r="M15" s="48"/>
      <c r="N15" s="48"/>
      <c r="O15" s="50"/>
    </row>
    <row r="16" spans="1:15" ht="27.75" customHeight="1">
      <c r="A16" s="32">
        <v>12</v>
      </c>
      <c r="B16" s="32"/>
      <c r="C16" s="33" t="s">
        <v>32</v>
      </c>
      <c r="D16" s="34" t="s">
        <v>41</v>
      </c>
      <c r="E16" s="34"/>
      <c r="F16" s="34" t="s">
        <v>35</v>
      </c>
      <c r="G16" s="35">
        <v>2</v>
      </c>
      <c r="H16" s="35" t="s">
        <v>26</v>
      </c>
      <c r="I16" s="35"/>
      <c r="J16" s="35"/>
      <c r="K16" s="48"/>
      <c r="L16" s="49"/>
      <c r="M16" s="48"/>
      <c r="N16" s="48"/>
      <c r="O16" s="34"/>
    </row>
    <row r="17" spans="1:15" ht="27.75" customHeight="1">
      <c r="A17" s="32">
        <v>13</v>
      </c>
      <c r="B17" s="32"/>
      <c r="C17" s="33" t="s">
        <v>32</v>
      </c>
      <c r="D17" s="34" t="s">
        <v>42</v>
      </c>
      <c r="E17" s="34"/>
      <c r="F17" s="34" t="s">
        <v>35</v>
      </c>
      <c r="G17" s="35">
        <v>2</v>
      </c>
      <c r="H17" s="35" t="s">
        <v>26</v>
      </c>
      <c r="I17" s="35"/>
      <c r="J17" s="35"/>
      <c r="K17" s="48"/>
      <c r="L17" s="49"/>
      <c r="M17" s="48"/>
      <c r="N17" s="48"/>
      <c r="O17" s="34"/>
    </row>
    <row r="18" spans="1:15" ht="27.75" customHeight="1">
      <c r="A18" s="32">
        <v>14</v>
      </c>
      <c r="B18" s="32"/>
      <c r="C18" s="33" t="s">
        <v>43</v>
      </c>
      <c r="D18" s="33" t="s">
        <v>44</v>
      </c>
      <c r="E18" s="33"/>
      <c r="F18" s="34" t="s">
        <v>45</v>
      </c>
      <c r="G18" s="34">
        <v>2</v>
      </c>
      <c r="H18" s="35" t="s">
        <v>26</v>
      </c>
      <c r="I18" s="35"/>
      <c r="J18" s="35"/>
      <c r="K18" s="48"/>
      <c r="L18" s="49"/>
      <c r="M18" s="48"/>
      <c r="N18" s="48"/>
      <c r="O18" s="34"/>
    </row>
    <row r="19" spans="1:15" ht="27.75" customHeight="1">
      <c r="A19" s="32">
        <v>15</v>
      </c>
      <c r="B19" s="32"/>
      <c r="C19" s="33" t="s">
        <v>43</v>
      </c>
      <c r="D19" s="33" t="s">
        <v>46</v>
      </c>
      <c r="E19" s="33"/>
      <c r="F19" s="34" t="s">
        <v>45</v>
      </c>
      <c r="G19" s="34">
        <v>2</v>
      </c>
      <c r="H19" s="35" t="s">
        <v>26</v>
      </c>
      <c r="I19" s="35"/>
      <c r="J19" s="35"/>
      <c r="K19" s="48"/>
      <c r="L19" s="49"/>
      <c r="M19" s="48"/>
      <c r="N19" s="48"/>
      <c r="O19" s="34"/>
    </row>
    <row r="20" spans="1:15" ht="27.75" customHeight="1">
      <c r="A20" s="32">
        <v>16</v>
      </c>
      <c r="B20" s="32"/>
      <c r="C20" s="33" t="s">
        <v>47</v>
      </c>
      <c r="D20" s="33" t="s">
        <v>48</v>
      </c>
      <c r="E20" s="33"/>
      <c r="F20" s="34" t="s">
        <v>45</v>
      </c>
      <c r="G20" s="34">
        <v>4</v>
      </c>
      <c r="H20" s="35" t="s">
        <v>26</v>
      </c>
      <c r="I20" s="35"/>
      <c r="J20" s="35"/>
      <c r="K20" s="48"/>
      <c r="L20" s="49"/>
      <c r="M20" s="48"/>
      <c r="N20" s="48"/>
      <c r="O20" s="34"/>
    </row>
    <row r="21" spans="1:15" ht="27.75" customHeight="1">
      <c r="A21" s="32">
        <v>17</v>
      </c>
      <c r="B21" s="32"/>
      <c r="C21" s="33" t="s">
        <v>49</v>
      </c>
      <c r="D21" s="33" t="s">
        <v>50</v>
      </c>
      <c r="E21" s="33"/>
      <c r="F21" s="34" t="s">
        <v>45</v>
      </c>
      <c r="G21" s="34">
        <v>2</v>
      </c>
      <c r="H21" s="35" t="s">
        <v>26</v>
      </c>
      <c r="I21" s="35"/>
      <c r="J21" s="35"/>
      <c r="K21" s="48"/>
      <c r="L21" s="49"/>
      <c r="M21" s="48"/>
      <c r="N21" s="48"/>
      <c r="O21" s="34"/>
    </row>
    <row r="22" spans="1:15" ht="27.75" customHeight="1">
      <c r="A22" s="32">
        <v>18</v>
      </c>
      <c r="B22" s="32"/>
      <c r="C22" s="33" t="s">
        <v>51</v>
      </c>
      <c r="D22" s="33" t="s">
        <v>52</v>
      </c>
      <c r="E22" s="33"/>
      <c r="F22" s="34" t="s">
        <v>45</v>
      </c>
      <c r="G22" s="34">
        <v>8</v>
      </c>
      <c r="H22" s="35" t="s">
        <v>26</v>
      </c>
      <c r="I22" s="35"/>
      <c r="J22" s="35"/>
      <c r="K22" s="48"/>
      <c r="L22" s="49"/>
      <c r="M22" s="48"/>
      <c r="N22" s="48"/>
      <c r="O22" s="34"/>
    </row>
    <row r="23" spans="1:15" ht="27.75" customHeight="1">
      <c r="A23" s="32">
        <v>19</v>
      </c>
      <c r="B23" s="32"/>
      <c r="C23" s="36" t="s">
        <v>53</v>
      </c>
      <c r="D23" s="36" t="s">
        <v>54</v>
      </c>
      <c r="E23" s="36"/>
      <c r="F23" s="38" t="s">
        <v>55</v>
      </c>
      <c r="G23" s="34">
        <v>1</v>
      </c>
      <c r="H23" s="35" t="s">
        <v>26</v>
      </c>
      <c r="I23" s="35"/>
      <c r="J23" s="35"/>
      <c r="K23" s="48"/>
      <c r="L23" s="49"/>
      <c r="M23" s="48"/>
      <c r="N23" s="48"/>
      <c r="O23" s="34"/>
    </row>
    <row r="24" spans="1:15" ht="27.75" customHeight="1">
      <c r="A24" s="32">
        <v>20</v>
      </c>
      <c r="B24" s="32"/>
      <c r="C24" s="36" t="s">
        <v>53</v>
      </c>
      <c r="D24" s="36" t="s">
        <v>56</v>
      </c>
      <c r="E24" s="36"/>
      <c r="F24" s="38" t="s">
        <v>55</v>
      </c>
      <c r="G24" s="34">
        <v>2</v>
      </c>
      <c r="H24" s="35" t="s">
        <v>26</v>
      </c>
      <c r="I24" s="35"/>
      <c r="J24" s="35"/>
      <c r="K24" s="48"/>
      <c r="L24" s="49"/>
      <c r="M24" s="48"/>
      <c r="N24" s="48"/>
      <c r="O24" s="34"/>
    </row>
    <row r="25" spans="1:15" ht="27.75" customHeight="1">
      <c r="A25" s="32">
        <v>21</v>
      </c>
      <c r="B25" s="32"/>
      <c r="C25" s="36" t="s">
        <v>53</v>
      </c>
      <c r="D25" s="36" t="s">
        <v>57</v>
      </c>
      <c r="E25" s="36"/>
      <c r="F25" s="38" t="s">
        <v>55</v>
      </c>
      <c r="G25" s="34">
        <v>1</v>
      </c>
      <c r="H25" s="35" t="s">
        <v>26</v>
      </c>
      <c r="I25" s="35"/>
      <c r="J25" s="35"/>
      <c r="K25" s="48"/>
      <c r="L25" s="49"/>
      <c r="M25" s="48"/>
      <c r="N25" s="48"/>
      <c r="O25" s="34"/>
    </row>
    <row r="26" spans="1:15" ht="27.75" customHeight="1">
      <c r="A26" s="32">
        <v>22</v>
      </c>
      <c r="B26" s="32"/>
      <c r="C26" s="36" t="s">
        <v>53</v>
      </c>
      <c r="D26" s="36" t="s">
        <v>58</v>
      </c>
      <c r="E26" s="36"/>
      <c r="F26" s="38" t="s">
        <v>55</v>
      </c>
      <c r="G26" s="34">
        <v>1</v>
      </c>
      <c r="H26" s="35" t="s">
        <v>26</v>
      </c>
      <c r="I26" s="35"/>
      <c r="J26" s="35"/>
      <c r="K26" s="48"/>
      <c r="L26" s="49"/>
      <c r="M26" s="48"/>
      <c r="N26" s="48"/>
      <c r="O26" s="34"/>
    </row>
    <row r="27" spans="1:15" ht="27.75" customHeight="1">
      <c r="A27" s="32">
        <v>23</v>
      </c>
      <c r="B27" s="32"/>
      <c r="C27" s="36" t="s">
        <v>53</v>
      </c>
      <c r="D27" s="36" t="s">
        <v>59</v>
      </c>
      <c r="E27" s="36"/>
      <c r="F27" s="38" t="s">
        <v>55</v>
      </c>
      <c r="G27" s="34">
        <v>2</v>
      </c>
      <c r="H27" s="35" t="s">
        <v>26</v>
      </c>
      <c r="I27" s="35"/>
      <c r="J27" s="35"/>
      <c r="K27" s="48"/>
      <c r="L27" s="49"/>
      <c r="M27" s="48"/>
      <c r="N27" s="48"/>
      <c r="O27" s="34"/>
    </row>
    <row r="28" spans="1:15" ht="27.75" customHeight="1">
      <c r="A28" s="32">
        <v>24</v>
      </c>
      <c r="B28" s="32"/>
      <c r="C28" s="36" t="s">
        <v>53</v>
      </c>
      <c r="D28" s="36" t="s">
        <v>60</v>
      </c>
      <c r="E28" s="36"/>
      <c r="F28" s="38" t="s">
        <v>55</v>
      </c>
      <c r="G28" s="34">
        <v>3</v>
      </c>
      <c r="H28" s="35" t="s">
        <v>26</v>
      </c>
      <c r="I28" s="35"/>
      <c r="J28" s="35"/>
      <c r="K28" s="48"/>
      <c r="L28" s="49"/>
      <c r="M28" s="48"/>
      <c r="N28" s="48"/>
      <c r="O28" s="34"/>
    </row>
    <row r="29" spans="1:15" ht="27.75" customHeight="1">
      <c r="A29" s="32">
        <v>25</v>
      </c>
      <c r="B29" s="32"/>
      <c r="C29" s="36" t="s">
        <v>53</v>
      </c>
      <c r="D29" s="36" t="s">
        <v>61</v>
      </c>
      <c r="E29" s="36"/>
      <c r="F29" s="38" t="s">
        <v>55</v>
      </c>
      <c r="G29" s="34">
        <v>1</v>
      </c>
      <c r="H29" s="35" t="s">
        <v>26</v>
      </c>
      <c r="I29" s="35"/>
      <c r="J29" s="35"/>
      <c r="K29" s="48"/>
      <c r="L29" s="49"/>
      <c r="M29" s="48"/>
      <c r="N29" s="48"/>
      <c r="O29" s="34"/>
    </row>
    <row r="30" spans="1:15" ht="27.75" customHeight="1">
      <c r="A30" s="32">
        <v>26</v>
      </c>
      <c r="B30" s="32"/>
      <c r="C30" s="36" t="s">
        <v>53</v>
      </c>
      <c r="D30" s="36" t="s">
        <v>62</v>
      </c>
      <c r="E30" s="36"/>
      <c r="F30" s="38" t="s">
        <v>55</v>
      </c>
      <c r="G30" s="34">
        <v>1</v>
      </c>
      <c r="H30" s="35" t="s">
        <v>26</v>
      </c>
      <c r="I30" s="35"/>
      <c r="J30" s="35"/>
      <c r="K30" s="48"/>
      <c r="L30" s="49"/>
      <c r="M30" s="48"/>
      <c r="N30" s="48"/>
      <c r="O30" s="34"/>
    </row>
    <row r="31" spans="1:15" ht="27.75" customHeight="1">
      <c r="A31" s="32">
        <v>27</v>
      </c>
      <c r="B31" s="32"/>
      <c r="C31" s="36" t="s">
        <v>63</v>
      </c>
      <c r="D31" s="36" t="s">
        <v>64</v>
      </c>
      <c r="E31" s="36"/>
      <c r="F31" s="38" t="s">
        <v>55</v>
      </c>
      <c r="G31" s="34">
        <v>1</v>
      </c>
      <c r="H31" s="35" t="s">
        <v>26</v>
      </c>
      <c r="I31" s="35"/>
      <c r="J31" s="35"/>
      <c r="K31" s="48"/>
      <c r="L31" s="49"/>
      <c r="M31" s="48"/>
      <c r="N31" s="48"/>
      <c r="O31" s="34"/>
    </row>
    <row r="32" spans="1:15" ht="27.75" customHeight="1">
      <c r="A32" s="32">
        <v>28</v>
      </c>
      <c r="B32" s="32"/>
      <c r="C32" s="36" t="s">
        <v>65</v>
      </c>
      <c r="D32" s="36" t="s">
        <v>66</v>
      </c>
      <c r="E32" s="36"/>
      <c r="F32" s="38" t="s">
        <v>55</v>
      </c>
      <c r="G32" s="34">
        <v>1</v>
      </c>
      <c r="H32" s="35" t="s">
        <v>26</v>
      </c>
      <c r="I32" s="35"/>
      <c r="J32" s="35"/>
      <c r="K32" s="48"/>
      <c r="L32" s="49"/>
      <c r="M32" s="48"/>
      <c r="N32" s="48"/>
      <c r="O32" s="34"/>
    </row>
    <row r="33" spans="1:15" ht="27.75" customHeight="1">
      <c r="A33" s="32">
        <v>29</v>
      </c>
      <c r="B33" s="32"/>
      <c r="C33" s="36" t="s">
        <v>67</v>
      </c>
      <c r="D33" s="36" t="s">
        <v>68</v>
      </c>
      <c r="E33" s="39"/>
      <c r="F33" s="38" t="s">
        <v>55</v>
      </c>
      <c r="G33" s="35">
        <v>1</v>
      </c>
      <c r="H33" s="35" t="s">
        <v>26</v>
      </c>
      <c r="I33" s="35"/>
      <c r="J33" s="35"/>
      <c r="K33" s="48"/>
      <c r="L33" s="49"/>
      <c r="M33" s="48"/>
      <c r="N33" s="48"/>
      <c r="O33" s="34"/>
    </row>
    <row r="34" spans="1:15" ht="27.75" customHeight="1">
      <c r="A34" s="32">
        <v>30</v>
      </c>
      <c r="B34" s="32"/>
      <c r="C34" s="36" t="s">
        <v>69</v>
      </c>
      <c r="D34" s="36" t="s">
        <v>70</v>
      </c>
      <c r="E34" s="39"/>
      <c r="F34" s="38" t="s">
        <v>55</v>
      </c>
      <c r="G34" s="35">
        <v>10</v>
      </c>
      <c r="H34" s="35" t="s">
        <v>26</v>
      </c>
      <c r="I34" s="35"/>
      <c r="J34" s="35"/>
      <c r="K34" s="48"/>
      <c r="L34" s="49"/>
      <c r="M34" s="48"/>
      <c r="N34" s="48"/>
      <c r="O34" s="34"/>
    </row>
    <row r="35" spans="1:15" ht="27.75" customHeight="1">
      <c r="A35" s="32">
        <v>31</v>
      </c>
      <c r="B35" s="32"/>
      <c r="C35" s="34"/>
      <c r="D35" s="34"/>
      <c r="E35" s="34"/>
      <c r="F35" s="35"/>
      <c r="G35" s="35"/>
      <c r="H35" s="35"/>
      <c r="I35" s="35"/>
      <c r="J35" s="35"/>
      <c r="K35" s="48"/>
      <c r="L35" s="49"/>
      <c r="M35" s="48"/>
      <c r="N35" s="48"/>
      <c r="O35" s="34"/>
    </row>
    <row r="36" spans="1:15" ht="27.75" customHeight="1">
      <c r="A36" s="32">
        <v>32</v>
      </c>
      <c r="B36" s="32"/>
      <c r="C36" s="34"/>
      <c r="D36" s="34"/>
      <c r="E36" s="34"/>
      <c r="F36" s="35"/>
      <c r="G36" s="35"/>
      <c r="H36" s="35"/>
      <c r="I36" s="35"/>
      <c r="J36" s="35"/>
      <c r="K36" s="48"/>
      <c r="L36" s="49"/>
      <c r="M36" s="48"/>
      <c r="N36" s="48"/>
      <c r="O36" s="34"/>
    </row>
    <row r="37" spans="1:15" ht="27.75" customHeight="1">
      <c r="A37" s="32">
        <v>33</v>
      </c>
      <c r="B37" s="32"/>
      <c r="C37" s="34"/>
      <c r="D37" s="34"/>
      <c r="E37" s="34"/>
      <c r="F37" s="35"/>
      <c r="G37" s="35"/>
      <c r="H37" s="35"/>
      <c r="I37" s="35"/>
      <c r="J37" s="35"/>
      <c r="K37" s="48"/>
      <c r="L37" s="49"/>
      <c r="M37" s="48"/>
      <c r="N37" s="48"/>
      <c r="O37" s="34"/>
    </row>
    <row r="38" spans="1:15" ht="27.75" customHeight="1">
      <c r="A38" s="32">
        <v>34</v>
      </c>
      <c r="B38" s="32"/>
      <c r="C38" s="34"/>
      <c r="D38" s="34"/>
      <c r="E38" s="34"/>
      <c r="F38" s="35"/>
      <c r="G38" s="35"/>
      <c r="H38" s="35"/>
      <c r="I38" s="35"/>
      <c r="J38" s="35"/>
      <c r="K38" s="48"/>
      <c r="L38" s="49"/>
      <c r="M38" s="48"/>
      <c r="N38" s="48"/>
      <c r="O38" s="34"/>
    </row>
    <row r="39" spans="1:15" ht="18" customHeight="1">
      <c r="C39" s="40"/>
      <c r="D39" s="40"/>
      <c r="E39" s="40"/>
      <c r="F39" s="40"/>
      <c r="G39" s="40"/>
      <c r="H39" s="40"/>
      <c r="I39" s="40"/>
      <c r="J39" s="51"/>
      <c r="K39" s="51"/>
      <c r="L39" s="52"/>
      <c r="M39" s="52"/>
      <c r="N39" s="52"/>
      <c r="O39" s="52"/>
    </row>
    <row r="40" spans="1:15" ht="47.45" customHeight="1">
      <c r="A40" s="41" t="s">
        <v>71</v>
      </c>
      <c r="B40" s="61" t="s">
        <v>72</v>
      </c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</row>
    <row r="41" spans="1:15" ht="14.25">
      <c r="A41" s="42"/>
      <c r="B41" s="42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</row>
  </sheetData>
  <mergeCells count="6">
    <mergeCell ref="A3:A4"/>
    <mergeCell ref="C1:H1"/>
    <mergeCell ref="C2:D2"/>
    <mergeCell ref="B3:J3"/>
    <mergeCell ref="K3:O3"/>
    <mergeCell ref="B40:O40"/>
  </mergeCells>
  <phoneticPr fontId="37" type="noConversion"/>
  <pageMargins left="0.25" right="0.28999999999999998" top="0.31" bottom="0.42" header="0.31496062992126" footer="0.31496062992126"/>
  <pageSetup paperSize="9" orientation="landscape" horizontalDpi="2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6"/>
  <sheetViews>
    <sheetView tabSelected="1" view="pageBreakPreview" topLeftCell="A10" zoomScale="110" zoomScaleNormal="100" workbookViewId="0">
      <selection activeCell="I13" sqref="I13"/>
    </sheetView>
  </sheetViews>
  <sheetFormatPr defaultColWidth="9" defaultRowHeight="14.25"/>
  <cols>
    <col min="1" max="1" width="7.5" style="2" customWidth="1"/>
    <col min="2" max="2" width="2.5" style="2" customWidth="1"/>
    <col min="3" max="3" width="24.75" style="2" customWidth="1"/>
    <col min="4" max="4" width="6.25" style="2" customWidth="1"/>
    <col min="5" max="5" width="5.5" style="2" customWidth="1"/>
    <col min="6" max="6" width="12.5" style="2" customWidth="1"/>
    <col min="7" max="7" width="8.25" style="2" customWidth="1"/>
    <col min="8" max="8" width="8.125" style="2" customWidth="1"/>
    <col min="9" max="9" width="20.625" style="2" customWidth="1"/>
    <col min="10" max="16384" width="9" style="3"/>
  </cols>
  <sheetData>
    <row r="1" spans="1:9" s="1" customFormat="1" ht="22.5" customHeight="1">
      <c r="A1" s="64" t="s">
        <v>73</v>
      </c>
      <c r="B1" s="64"/>
      <c r="C1" s="64"/>
      <c r="D1" s="64"/>
      <c r="E1" s="64"/>
      <c r="F1" s="64"/>
      <c r="G1" s="64"/>
      <c r="H1" s="64"/>
      <c r="I1" s="64"/>
    </row>
    <row r="2" spans="1:9" s="1" customFormat="1" ht="19.5" customHeight="1">
      <c r="A2" s="65"/>
      <c r="B2" s="65"/>
      <c r="C2" s="65"/>
      <c r="D2" s="65"/>
      <c r="E2" s="65"/>
      <c r="F2" s="65"/>
      <c r="G2" s="65"/>
      <c r="H2" s="65"/>
      <c r="I2" s="65"/>
    </row>
    <row r="3" spans="1:9" s="1" customFormat="1" ht="18" customHeight="1">
      <c r="A3" s="66"/>
      <c r="B3" s="66"/>
      <c r="C3" s="66"/>
      <c r="D3" s="66"/>
      <c r="E3" s="66"/>
      <c r="F3" s="66"/>
      <c r="G3" s="66"/>
      <c r="H3" s="66"/>
      <c r="I3" s="66"/>
    </row>
    <row r="4" spans="1:9" s="1" customFormat="1" ht="19.5" customHeight="1">
      <c r="A4" s="67"/>
      <c r="B4" s="67"/>
      <c r="C4" s="67"/>
      <c r="D4" s="67"/>
      <c r="E4" s="67"/>
      <c r="F4" s="67"/>
      <c r="G4" s="67"/>
      <c r="H4" s="67"/>
      <c r="I4" s="67"/>
    </row>
    <row r="5" spans="1:9" s="1" customFormat="1" ht="16.5" customHeight="1">
      <c r="A5" s="5" t="s">
        <v>74</v>
      </c>
      <c r="B5" s="68"/>
      <c r="C5" s="68"/>
      <c r="D5" s="68"/>
      <c r="E5" s="68"/>
      <c r="G5" s="5" t="s">
        <v>75</v>
      </c>
      <c r="H5" s="69"/>
      <c r="I5" s="69"/>
    </row>
    <row r="6" spans="1:9" s="1" customFormat="1" ht="16.5" customHeight="1">
      <c r="A6" s="5" t="s">
        <v>76</v>
      </c>
      <c r="B6" s="68"/>
      <c r="C6" s="68"/>
      <c r="D6" s="68"/>
      <c r="E6" s="68"/>
      <c r="G6" s="5" t="s">
        <v>76</v>
      </c>
      <c r="H6" s="6"/>
    </row>
    <row r="7" spans="1:9" s="1" customFormat="1" ht="16.5" customHeight="1">
      <c r="A7" s="5" t="s">
        <v>77</v>
      </c>
      <c r="B7" s="68"/>
      <c r="C7" s="68"/>
      <c r="D7" s="68"/>
      <c r="E7" s="68"/>
      <c r="G7" s="5" t="s">
        <v>77</v>
      </c>
      <c r="H7" s="6"/>
      <c r="I7" s="6"/>
    </row>
    <row r="8" spans="1:9" s="1" customFormat="1" ht="16.5" customHeight="1">
      <c r="A8" s="5" t="s">
        <v>78</v>
      </c>
      <c r="B8" s="68"/>
      <c r="C8" s="68"/>
      <c r="D8" s="68"/>
      <c r="E8" s="68"/>
      <c r="G8" s="70" t="s">
        <v>79</v>
      </c>
      <c r="H8" s="70"/>
      <c r="I8" s="70"/>
    </row>
    <row r="9" spans="1:9" s="1" customFormat="1" ht="21.75" customHeight="1">
      <c r="A9" s="5" t="s">
        <v>80</v>
      </c>
      <c r="B9" s="71"/>
      <c r="C9" s="71"/>
      <c r="D9" s="71"/>
      <c r="E9" s="71"/>
      <c r="F9" s="71"/>
      <c r="G9" s="72"/>
      <c r="H9" s="72"/>
      <c r="I9" s="72"/>
    </row>
    <row r="10" spans="1:9" s="2" customFormat="1" ht="28.5" customHeight="1">
      <c r="A10" s="73" t="s">
        <v>81</v>
      </c>
      <c r="B10" s="74"/>
      <c r="C10" s="99" t="s">
        <v>98</v>
      </c>
      <c r="D10" s="75"/>
      <c r="E10" s="75"/>
      <c r="F10" s="75"/>
      <c r="G10" s="75"/>
      <c r="H10" s="75"/>
      <c r="I10" s="76"/>
    </row>
    <row r="11" spans="1:9" s="2" customFormat="1" ht="24.75" customHeight="1">
      <c r="A11" s="77" t="s">
        <v>3</v>
      </c>
      <c r="B11" s="78"/>
      <c r="C11" s="7" t="s">
        <v>82</v>
      </c>
      <c r="D11" s="7" t="s">
        <v>11</v>
      </c>
      <c r="E11" s="7" t="s">
        <v>12</v>
      </c>
      <c r="F11" s="8" t="s">
        <v>83</v>
      </c>
      <c r="G11" s="77" t="s">
        <v>84</v>
      </c>
      <c r="H11" s="78"/>
      <c r="I11" s="21" t="s">
        <v>85</v>
      </c>
    </row>
    <row r="12" spans="1:9" ht="24.95" customHeight="1">
      <c r="A12" s="79">
        <v>1</v>
      </c>
      <c r="B12" s="80"/>
      <c r="C12" s="97" t="s">
        <v>90</v>
      </c>
      <c r="D12" s="10">
        <v>1</v>
      </c>
      <c r="E12" s="10" t="s">
        <v>23</v>
      </c>
      <c r="F12" s="11">
        <v>11000</v>
      </c>
      <c r="G12" s="81">
        <f>F12/F32</f>
        <v>0.55000000000000004</v>
      </c>
      <c r="H12" s="82"/>
      <c r="I12" s="98" t="s">
        <v>93</v>
      </c>
    </row>
    <row r="13" spans="1:9" ht="24.95" customHeight="1">
      <c r="A13" s="79">
        <v>2</v>
      </c>
      <c r="B13" s="80"/>
      <c r="C13" s="97" t="s">
        <v>91</v>
      </c>
      <c r="D13" s="10">
        <v>1</v>
      </c>
      <c r="E13" s="10" t="s">
        <v>23</v>
      </c>
      <c r="F13" s="11">
        <v>1500</v>
      </c>
      <c r="G13" s="81">
        <f>F13/F32</f>
        <v>7.4999999999999997E-2</v>
      </c>
      <c r="H13" s="82"/>
      <c r="I13" s="98" t="s">
        <v>92</v>
      </c>
    </row>
    <row r="14" spans="1:9" ht="24.95" customHeight="1">
      <c r="A14" s="79">
        <v>3</v>
      </c>
      <c r="B14" s="80"/>
      <c r="C14" s="97" t="s">
        <v>95</v>
      </c>
      <c r="D14" s="10">
        <v>1</v>
      </c>
      <c r="E14" s="10" t="s">
        <v>23</v>
      </c>
      <c r="F14" s="11">
        <v>6000</v>
      </c>
      <c r="G14" s="81">
        <f>F14/F32</f>
        <v>0.3</v>
      </c>
      <c r="H14" s="82"/>
      <c r="I14" s="98" t="s">
        <v>94</v>
      </c>
    </row>
    <row r="15" spans="1:9" ht="24.95" customHeight="1">
      <c r="A15" s="79">
        <v>4</v>
      </c>
      <c r="B15" s="80"/>
      <c r="C15" s="97" t="s">
        <v>96</v>
      </c>
      <c r="D15" s="10">
        <v>1</v>
      </c>
      <c r="E15" s="10" t="s">
        <v>23</v>
      </c>
      <c r="F15" s="11">
        <v>1500</v>
      </c>
      <c r="G15" s="81">
        <f>F15/F32</f>
        <v>7.4999999999999997E-2</v>
      </c>
      <c r="H15" s="82"/>
      <c r="I15" s="98" t="s">
        <v>97</v>
      </c>
    </row>
    <row r="16" spans="1:9" ht="24.95" customHeight="1">
      <c r="A16" s="79"/>
      <c r="B16" s="80"/>
      <c r="C16" s="9"/>
      <c r="D16" s="10"/>
      <c r="E16" s="10"/>
      <c r="F16" s="11"/>
      <c r="G16" s="81"/>
      <c r="H16" s="82"/>
      <c r="I16" s="22"/>
    </row>
    <row r="17" spans="1:9" ht="24.95" customHeight="1">
      <c r="A17" s="79"/>
      <c r="B17" s="80"/>
      <c r="C17" s="9"/>
      <c r="D17" s="10"/>
      <c r="E17" s="10"/>
      <c r="F17" s="11"/>
      <c r="G17" s="81"/>
      <c r="H17" s="82"/>
      <c r="I17" s="22"/>
    </row>
    <row r="18" spans="1:9" ht="24.95" customHeight="1">
      <c r="A18" s="79"/>
      <c r="B18" s="80"/>
      <c r="C18" s="9"/>
      <c r="D18" s="10"/>
      <c r="E18" s="10"/>
      <c r="F18" s="11"/>
      <c r="G18" s="81"/>
      <c r="H18" s="82"/>
      <c r="I18" s="22"/>
    </row>
    <row r="19" spans="1:9" ht="24.95" customHeight="1">
      <c r="A19" s="79"/>
      <c r="B19" s="80"/>
      <c r="C19" s="9"/>
      <c r="D19" s="10"/>
      <c r="E19" s="10"/>
      <c r="F19" s="11"/>
      <c r="G19" s="81"/>
      <c r="H19" s="82"/>
      <c r="I19" s="22"/>
    </row>
    <row r="20" spans="1:9" ht="24.95" customHeight="1">
      <c r="A20" s="79"/>
      <c r="B20" s="80"/>
      <c r="C20" s="9"/>
      <c r="D20" s="10"/>
      <c r="E20" s="10"/>
      <c r="F20" s="11"/>
      <c r="G20" s="81"/>
      <c r="H20" s="82"/>
      <c r="I20" s="22"/>
    </row>
    <row r="21" spans="1:9" ht="24.95" customHeight="1">
      <c r="A21" s="79"/>
      <c r="B21" s="80"/>
      <c r="C21" s="9"/>
      <c r="D21" s="10"/>
      <c r="E21" s="10"/>
      <c r="F21" s="11"/>
      <c r="G21" s="81"/>
      <c r="H21" s="82"/>
      <c r="I21" s="22"/>
    </row>
    <row r="22" spans="1:9" ht="24.95" customHeight="1">
      <c r="A22" s="79"/>
      <c r="B22" s="80"/>
      <c r="C22" s="9"/>
      <c r="D22" s="10"/>
      <c r="E22" s="10"/>
      <c r="F22" s="11"/>
      <c r="G22" s="81"/>
      <c r="H22" s="82"/>
      <c r="I22" s="22"/>
    </row>
    <row r="23" spans="1:9" ht="24.95" customHeight="1">
      <c r="A23" s="79"/>
      <c r="B23" s="80"/>
      <c r="C23" s="9"/>
      <c r="D23" s="10"/>
      <c r="E23" s="10"/>
      <c r="F23" s="11"/>
      <c r="G23" s="81"/>
      <c r="H23" s="82"/>
      <c r="I23" s="22"/>
    </row>
    <row r="24" spans="1:9" ht="24.95" customHeight="1">
      <c r="A24" s="79"/>
      <c r="B24" s="80"/>
      <c r="C24" s="9"/>
      <c r="D24" s="10"/>
      <c r="E24" s="10"/>
      <c r="F24" s="11"/>
      <c r="G24" s="81"/>
      <c r="H24" s="82"/>
      <c r="I24" s="22"/>
    </row>
    <row r="25" spans="1:9" ht="25.5" customHeight="1">
      <c r="A25" s="79"/>
      <c r="B25" s="80"/>
      <c r="C25" s="12"/>
      <c r="D25" s="10"/>
      <c r="E25" s="10"/>
      <c r="F25" s="11"/>
      <c r="G25" s="81"/>
      <c r="H25" s="82"/>
      <c r="I25" s="22"/>
    </row>
    <row r="26" spans="1:9" ht="24.95" customHeight="1">
      <c r="A26" s="79"/>
      <c r="B26" s="80"/>
      <c r="C26" s="9"/>
      <c r="D26" s="10"/>
      <c r="E26" s="10"/>
      <c r="F26" s="13"/>
      <c r="G26" s="81"/>
      <c r="H26" s="82"/>
      <c r="I26" s="22"/>
    </row>
    <row r="27" spans="1:9" ht="24.95" customHeight="1">
      <c r="A27" s="79"/>
      <c r="B27" s="80"/>
      <c r="C27" s="14"/>
      <c r="D27" s="10"/>
      <c r="E27" s="10"/>
      <c r="F27" s="15"/>
      <c r="G27" s="81"/>
      <c r="H27" s="82"/>
      <c r="I27" s="22"/>
    </row>
    <row r="28" spans="1:9" ht="24.95" customHeight="1">
      <c r="A28" s="79"/>
      <c r="B28" s="80"/>
      <c r="C28" s="14"/>
      <c r="D28" s="10"/>
      <c r="E28" s="10"/>
      <c r="F28" s="15"/>
      <c r="G28" s="81"/>
      <c r="H28" s="82"/>
      <c r="I28" s="22"/>
    </row>
    <row r="29" spans="1:9" ht="24.95" customHeight="1">
      <c r="A29" s="79"/>
      <c r="B29" s="80"/>
      <c r="C29" s="14"/>
      <c r="D29" s="10"/>
      <c r="E29" s="10"/>
      <c r="F29" s="15"/>
      <c r="G29" s="81"/>
      <c r="H29" s="82"/>
      <c r="I29" s="22"/>
    </row>
    <row r="30" spans="1:9" ht="24.95" customHeight="1">
      <c r="A30" s="79"/>
      <c r="B30" s="80"/>
      <c r="C30" s="14"/>
      <c r="D30" s="10"/>
      <c r="E30" s="10"/>
      <c r="F30" s="15"/>
      <c r="G30" s="81"/>
      <c r="H30" s="82"/>
      <c r="I30" s="22"/>
    </row>
    <row r="31" spans="1:9" ht="24.95" customHeight="1">
      <c r="A31" s="79"/>
      <c r="B31" s="80"/>
      <c r="C31" s="14"/>
      <c r="D31" s="10"/>
      <c r="E31" s="10"/>
      <c r="F31" s="15"/>
      <c r="G31" s="81"/>
      <c r="H31" s="82"/>
      <c r="I31" s="22"/>
    </row>
    <row r="32" spans="1:9" s="4" customFormat="1" ht="24.95" customHeight="1">
      <c r="A32" s="83" t="s">
        <v>86</v>
      </c>
      <c r="B32" s="83"/>
      <c r="C32" s="84"/>
      <c r="D32" s="16">
        <v>1</v>
      </c>
      <c r="E32" s="16" t="s">
        <v>87</v>
      </c>
      <c r="F32" s="85">
        <f>SUM(F12:F31)</f>
        <v>20000</v>
      </c>
      <c r="G32" s="86"/>
      <c r="H32" s="87"/>
      <c r="I32" s="23"/>
    </row>
    <row r="33" spans="1:9" s="4" customFormat="1" ht="25.5" customHeight="1">
      <c r="A33" s="88"/>
      <c r="B33" s="89"/>
      <c r="C33" s="89"/>
      <c r="D33" s="89"/>
      <c r="E33" s="89"/>
      <c r="F33" s="89"/>
      <c r="G33" s="89"/>
      <c r="H33" s="89"/>
      <c r="I33" s="24"/>
    </row>
    <row r="34" spans="1:9" s="4" customFormat="1" ht="16.5" customHeight="1">
      <c r="A34" s="90"/>
      <c r="B34" s="91"/>
      <c r="C34" s="91"/>
      <c r="D34" s="91"/>
      <c r="E34" s="91"/>
      <c r="F34" s="91"/>
      <c r="G34" s="91"/>
      <c r="H34" s="91"/>
      <c r="I34" s="25"/>
    </row>
    <row r="35" spans="1:9" s="4" customFormat="1" ht="16.5" customHeight="1">
      <c r="A35" s="92"/>
      <c r="B35" s="93"/>
      <c r="C35" s="93"/>
      <c r="D35" s="93"/>
      <c r="E35" s="93"/>
      <c r="F35" s="93"/>
      <c r="G35" s="93"/>
      <c r="H35" s="93"/>
      <c r="I35" s="25"/>
    </row>
    <row r="36" spans="1:9" s="4" customFormat="1" ht="16.5" customHeight="1">
      <c r="A36" s="92"/>
      <c r="B36" s="93"/>
      <c r="C36" s="93"/>
      <c r="D36" s="93"/>
      <c r="E36" s="93"/>
      <c r="F36" s="93"/>
      <c r="G36" s="93"/>
      <c r="H36" s="93"/>
      <c r="I36" s="25"/>
    </row>
    <row r="37" spans="1:9" s="4" customFormat="1" ht="16.5" customHeight="1">
      <c r="A37" s="92"/>
      <c r="B37" s="93"/>
      <c r="C37" s="93"/>
      <c r="D37" s="93"/>
      <c r="E37" s="93"/>
      <c r="F37" s="93"/>
      <c r="G37" s="93"/>
      <c r="H37" s="93"/>
      <c r="I37" s="25"/>
    </row>
    <row r="38" spans="1:9" s="4" customFormat="1" ht="17.100000000000001" customHeight="1">
      <c r="A38" s="92"/>
      <c r="B38" s="93"/>
      <c r="C38" s="93"/>
      <c r="D38" s="93"/>
      <c r="E38" s="93"/>
      <c r="F38" s="93"/>
      <c r="G38" s="93"/>
      <c r="H38" s="93"/>
      <c r="I38" s="25"/>
    </row>
    <row r="39" spans="1:9" s="4" customFormat="1" ht="17.100000000000001" customHeight="1">
      <c r="A39" s="92"/>
      <c r="B39" s="93"/>
      <c r="C39" s="93"/>
      <c r="D39" s="93"/>
      <c r="E39" s="93"/>
      <c r="F39" s="93"/>
      <c r="G39" s="93"/>
      <c r="H39" s="93"/>
      <c r="I39" s="94"/>
    </row>
    <row r="40" spans="1:9">
      <c r="A40" s="17" t="s">
        <v>88</v>
      </c>
      <c r="B40" s="95"/>
      <c r="C40" s="95"/>
      <c r="D40" s="18"/>
      <c r="E40" s="18"/>
      <c r="F40" s="19"/>
      <c r="G40" s="19"/>
      <c r="H40" s="19"/>
      <c r="I40" s="25"/>
    </row>
    <row r="41" spans="1:9" ht="45" customHeight="1">
      <c r="A41" s="96" t="s">
        <v>89</v>
      </c>
      <c r="B41" s="96"/>
      <c r="C41" s="96"/>
      <c r="D41" s="96"/>
      <c r="E41" s="96"/>
      <c r="F41" s="96"/>
      <c r="G41" s="96"/>
      <c r="H41" s="96"/>
      <c r="I41" s="96"/>
    </row>
    <row r="42" spans="1:9">
      <c r="A42" s="20"/>
      <c r="B42" s="20"/>
      <c r="C42" s="20"/>
      <c r="D42" s="20"/>
      <c r="E42" s="20"/>
      <c r="F42" s="20"/>
      <c r="G42" s="20"/>
      <c r="H42" s="20"/>
      <c r="I42" s="20"/>
    </row>
    <row r="43" spans="1:9">
      <c r="A43" s="20"/>
      <c r="B43" s="20"/>
      <c r="C43" s="20"/>
      <c r="D43" s="20"/>
      <c r="E43" s="20"/>
      <c r="F43" s="20"/>
      <c r="G43" s="20"/>
      <c r="H43" s="20"/>
      <c r="I43" s="20"/>
    </row>
    <row r="44" spans="1:9">
      <c r="A44" s="20"/>
      <c r="B44" s="20"/>
      <c r="C44" s="20"/>
      <c r="D44" s="20"/>
      <c r="E44" s="20"/>
      <c r="F44" s="20"/>
      <c r="G44" s="20"/>
      <c r="H44" s="20"/>
      <c r="I44" s="20"/>
    </row>
    <row r="45" spans="1:9">
      <c r="A45" s="20"/>
      <c r="B45" s="20"/>
      <c r="C45" s="20"/>
      <c r="D45" s="20"/>
      <c r="E45" s="20"/>
      <c r="F45" s="20"/>
      <c r="G45" s="20"/>
      <c r="H45" s="20"/>
      <c r="I45" s="20"/>
    </row>
    <row r="46" spans="1:9">
      <c r="A46" s="20"/>
      <c r="B46" s="20"/>
      <c r="C46" s="20"/>
      <c r="D46" s="20"/>
      <c r="E46" s="20"/>
      <c r="F46" s="20"/>
      <c r="G46" s="20"/>
      <c r="H46" s="20"/>
      <c r="I46" s="20"/>
    </row>
  </sheetData>
  <mergeCells count="67">
    <mergeCell ref="A39:I39"/>
    <mergeCell ref="B40:C40"/>
    <mergeCell ref="A41:I41"/>
    <mergeCell ref="A34:H34"/>
    <mergeCell ref="A35:H35"/>
    <mergeCell ref="A36:H36"/>
    <mergeCell ref="A37:H37"/>
    <mergeCell ref="A38:H38"/>
    <mergeCell ref="A31:B31"/>
    <mergeCell ref="G31:H31"/>
    <mergeCell ref="A32:C32"/>
    <mergeCell ref="F32:H32"/>
    <mergeCell ref="A33:H33"/>
    <mergeCell ref="A28:B28"/>
    <mergeCell ref="G28:H28"/>
    <mergeCell ref="A29:B29"/>
    <mergeCell ref="G29:H29"/>
    <mergeCell ref="A30:B30"/>
    <mergeCell ref="G30:H30"/>
    <mergeCell ref="A25:B25"/>
    <mergeCell ref="G25:H25"/>
    <mergeCell ref="A26:B26"/>
    <mergeCell ref="G26:H26"/>
    <mergeCell ref="A27:B27"/>
    <mergeCell ref="G27:H27"/>
    <mergeCell ref="A22:B22"/>
    <mergeCell ref="G22:H22"/>
    <mergeCell ref="A23:B23"/>
    <mergeCell ref="G23:H23"/>
    <mergeCell ref="A24:B24"/>
    <mergeCell ref="G24:H24"/>
    <mergeCell ref="A19:B19"/>
    <mergeCell ref="G19:H19"/>
    <mergeCell ref="A20:B20"/>
    <mergeCell ref="G20:H20"/>
    <mergeCell ref="A21:B21"/>
    <mergeCell ref="G21:H21"/>
    <mergeCell ref="A16:B16"/>
    <mergeCell ref="G16:H16"/>
    <mergeCell ref="A17:B17"/>
    <mergeCell ref="G17:H17"/>
    <mergeCell ref="A18:B18"/>
    <mergeCell ref="G18:H18"/>
    <mergeCell ref="A13:B13"/>
    <mergeCell ref="G13:H13"/>
    <mergeCell ref="A14:B14"/>
    <mergeCell ref="G14:H14"/>
    <mergeCell ref="A15:B15"/>
    <mergeCell ref="G15:H15"/>
    <mergeCell ref="A10:B10"/>
    <mergeCell ref="C10:I10"/>
    <mergeCell ref="A11:B11"/>
    <mergeCell ref="G11:H11"/>
    <mergeCell ref="A12:B12"/>
    <mergeCell ref="G12:H12"/>
    <mergeCell ref="B6:E6"/>
    <mergeCell ref="B7:E7"/>
    <mergeCell ref="B8:E8"/>
    <mergeCell ref="G8:I8"/>
    <mergeCell ref="B9:F9"/>
    <mergeCell ref="G9:I9"/>
    <mergeCell ref="A1:I1"/>
    <mergeCell ref="A2:I2"/>
    <mergeCell ref="A3:I3"/>
    <mergeCell ref="A4:I4"/>
    <mergeCell ref="B5:E5"/>
    <mergeCell ref="H5:I5"/>
  </mergeCells>
  <phoneticPr fontId="37" type="noConversion"/>
  <printOptions horizontalCentered="1"/>
  <pageMargins left="0.118055555555556" right="0.118055555555556" top="0.39305555555555599" bottom="0.59027777777777801" header="0" footer="0"/>
  <pageSetup paperSize="9" scale="4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询价单</vt:lpstr>
      <vt:lpstr>001</vt:lpstr>
      <vt:lpstr>'001'!Print_Area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2021-11-29T03:54:27Z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2EE1DFB553BF4AC0953210AC50F6FD93</vt:lpwstr>
  </property>
  <property fmtid="{D5CDD505-2E9C-101B-9397-08002B2CF9AE}" pid="3" name="KSOProductBuildVer">
    <vt:lpwstr>2052-11.1.0.10700</vt:lpwstr>
  </property>
</Properties>
</file>